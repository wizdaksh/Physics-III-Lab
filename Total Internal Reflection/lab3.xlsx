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u\Documents\GMU\Spring 26\Physics-III-Lab\Total Internal Reflection\"/>
    </mc:Choice>
  </mc:AlternateContent>
  <xr:revisionPtr revIDLastSave="0" documentId="8_{A338F20C-A587-42FA-8819-28246AD49C54}" xr6:coauthVersionLast="47" xr6:coauthVersionMax="47" xr10:uidLastSave="{00000000-0000-0000-0000-000000000000}"/>
  <bookViews>
    <workbookView xWindow="135" yWindow="10485" windowWidth="19185" windowHeight="10260" xr2:uid="{BFE9FFB4-EF1D-4CC4-81A2-67698DD8F1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4" i="1"/>
  <c r="H5" i="1"/>
  <c r="H6" i="1"/>
  <c r="H7" i="1"/>
  <c r="H8" i="1"/>
  <c r="I4" i="1"/>
  <c r="E17" i="1"/>
  <c r="E16" i="1"/>
  <c r="E15" i="1"/>
  <c r="E14" i="1"/>
  <c r="J5" i="1"/>
  <c r="J6" i="1"/>
  <c r="J7" i="1"/>
  <c r="J8" i="1"/>
  <c r="J9" i="1"/>
  <c r="J10" i="1"/>
  <c r="J11" i="1"/>
  <c r="J4" i="1"/>
  <c r="I5" i="1"/>
  <c r="I6" i="1"/>
  <c r="I7" i="1"/>
  <c r="I8" i="1"/>
  <c r="I9" i="1"/>
  <c r="I10" i="1"/>
  <c r="I11" i="1"/>
  <c r="E6" i="1"/>
  <c r="E7" i="1"/>
  <c r="E8" i="1"/>
  <c r="E9" i="1"/>
  <c r="E10" i="1"/>
  <c r="E11" i="1"/>
  <c r="E12" i="1"/>
  <c r="E5" i="1"/>
</calcChain>
</file>

<file path=xl/sharedStrings.xml><?xml version="1.0" encoding="utf-8"?>
<sst xmlns="http://schemas.openxmlformats.org/spreadsheetml/2006/main" count="16" uniqueCount="15">
  <si>
    <t>Rhombus block used</t>
  </si>
  <si>
    <t>Experiment 1</t>
  </si>
  <si>
    <t xml:space="preserve">Refracted Angle </t>
  </si>
  <si>
    <t>Incident angle</t>
  </si>
  <si>
    <t>mean</t>
  </si>
  <si>
    <t>std dev</t>
  </si>
  <si>
    <t>uncertainty</t>
  </si>
  <si>
    <t>error</t>
  </si>
  <si>
    <t>refracted sin</t>
  </si>
  <si>
    <t>Incident Sin</t>
  </si>
  <si>
    <t>refracted index</t>
  </si>
  <si>
    <t>thichness light</t>
  </si>
  <si>
    <t>accuracy</t>
  </si>
  <si>
    <t>2.1 deg</t>
  </si>
  <si>
    <t>critical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</si>
</sst>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Refracted</a:t>
            </a:r>
            <a:r>
              <a:rPr lang="en-US" baseline="0"/>
              <a:t> Sin vs incident Sin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445157813854584E-2"/>
          <c:y val="0.17812244365256746"/>
          <c:w val="0.86875047017407914"/>
          <c:h val="0.6435877775421309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Sheet1!$I$4:$I$11</c:f>
              <c:numCache>
                <c:formatCode>General</c:formatCode>
                <c:ptCount val="8"/>
                <c:pt idx="0">
                  <c:v>0.15643446504023087</c:v>
                </c:pt>
                <c:pt idx="1">
                  <c:v>0.24192189559966773</c:v>
                </c:pt>
                <c:pt idx="2">
                  <c:v>0.3255681544571567</c:v>
                </c:pt>
                <c:pt idx="3">
                  <c:v>0.40673664307580021</c:v>
                </c:pt>
                <c:pt idx="4">
                  <c:v>0.46947156278589081</c:v>
                </c:pt>
                <c:pt idx="5">
                  <c:v>0.5591929034707469</c:v>
                </c:pt>
                <c:pt idx="6">
                  <c:v>0.62932039104983739</c:v>
                </c:pt>
                <c:pt idx="7">
                  <c:v>0.66913060635885824</c:v>
                </c:pt>
              </c:numCache>
            </c:numRef>
          </c:xVal>
          <c:yVal>
            <c:numRef>
              <c:f>Sheet1!$J$4:$J$11</c:f>
              <c:numCache>
                <c:formatCode>General</c:formatCode>
                <c:ptCount val="8"/>
                <c:pt idx="0">
                  <c:v>0.17364817766693033</c:v>
                </c:pt>
                <c:pt idx="1">
                  <c:v>0.34202014332566871</c:v>
                </c:pt>
                <c:pt idx="2">
                  <c:v>0.49999999999999994</c:v>
                </c:pt>
                <c:pt idx="3">
                  <c:v>0.64278760968653925</c:v>
                </c:pt>
                <c:pt idx="4">
                  <c:v>0.76604444311897801</c:v>
                </c:pt>
                <c:pt idx="5">
                  <c:v>0.8660254037844386</c:v>
                </c:pt>
                <c:pt idx="6">
                  <c:v>0.93969262078590832</c:v>
                </c:pt>
                <c:pt idx="7">
                  <c:v>0.98480775301220802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CD-4B40-A2F2-4791DE82E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869855"/>
        <c:axId val="1811871295"/>
      </c:scatterChart>
      <c:valAx>
        <c:axId val="181186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71295"/>
        <c:crosses val="autoZero"/>
        <c:crossBetween val="midCat"/>
      </c:valAx>
      <c:valAx>
        <c:axId val="18118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86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139143</xdr:colOff>
      <xdr:row>2</xdr:row>
      <xdr:rowOff>2485</xdr:rowOff>
    </xdr:from>
    <xdr:to>
      <xdr:col>17</xdr:col>
      <xdr:colOff>28018</xdr:colOff>
      <xdr:row>13</xdr:row>
      <xdr:rowOff>152166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DB3E4F-33F6-00D5-EBED-5C24CD823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E5B9-1377-4E81-BFBD-723BE41394A0}">
  <dimension ref="A1:J20"/>
  <sheetViews>
    <sheetView tabSelected="1" zoomScale="85" zoomScaleNormal="85" workbookViewId="0">
      <selection activeCell="D3" sqref="D3"/>
    </sheetView>
  </sheetViews>
  <sheetFormatPr defaultRowHeight="15" x14ac:dyDescent="0.25"/>
  <cols>
    <col min="1" max="1" width="17.5703125" customWidth="1"/>
    <col min="2" max="2" width="13.140625" customWidth="1"/>
    <col min="3" max="3" width="14.42578125" customWidth="1"/>
    <col min="4" max="4" width="14.85546875" customWidth="1"/>
    <col min="5" max="5" width="10.140625" customWidth="1"/>
    <col min="7" max="7" width="13.7109375" customWidth="1"/>
    <col min="9" max="9" width="19" customWidth="1"/>
    <col min="10" max="10" width="11.42578125" customWidth="1"/>
  </cols>
  <sheetData>
    <row r="1" spans="1:10" x14ac:dyDescent="0.25">
      <c r="A1" t="s">
        <v>0</v>
      </c>
    </row>
    <row r="3" spans="1:10" x14ac:dyDescent="0.25">
      <c r="A3" t="s">
        <v>1</v>
      </c>
      <c r="C3" t="s">
        <v>3</v>
      </c>
      <c r="D3" t="s">
        <v>2</v>
      </c>
      <c r="I3" t="s">
        <v>8</v>
      </c>
      <c r="J3" t="s">
        <v>9</v>
      </c>
    </row>
    <row r="4" spans="1:10" x14ac:dyDescent="0.25">
      <c r="C4">
        <v>0</v>
      </c>
      <c r="D4">
        <v>0</v>
      </c>
      <c r="G4">
        <v>26</v>
      </c>
      <c r="H4">
        <f>G4-26</f>
        <v>0</v>
      </c>
      <c r="I4">
        <f>SIN(RADIANS(D5))</f>
        <v>0.15643446504023087</v>
      </c>
      <c r="J4">
        <f>SIN(RADIANS(C5))</f>
        <v>0.17364817766693033</v>
      </c>
    </row>
    <row r="5" spans="1:10" x14ac:dyDescent="0.25">
      <c r="C5">
        <v>10</v>
      </c>
      <c r="D5">
        <v>9</v>
      </c>
      <c r="E5">
        <f>SIN(RADIANS(C5))/SIN(RADIANS(D5))</f>
        <v>1.1100378527345143</v>
      </c>
      <c r="G5">
        <v>44</v>
      </c>
      <c r="H5">
        <f t="shared" ref="H5:H8" si="0">G5-26</f>
        <v>18</v>
      </c>
      <c r="I5">
        <f t="shared" ref="I5:I11" si="1">SIN(RADIANS(D6))</f>
        <v>0.24192189559966773</v>
      </c>
      <c r="J5">
        <f t="shared" ref="J5:J11" si="2">SIN(RADIANS(C6))</f>
        <v>0.34202014332566871</v>
      </c>
    </row>
    <row r="6" spans="1:10" x14ac:dyDescent="0.25">
      <c r="C6">
        <v>20</v>
      </c>
      <c r="D6">
        <v>14</v>
      </c>
      <c r="E6">
        <f t="shared" ref="E6:E12" si="3">SIN(RADIANS(C6))/SIN(RADIANS(D6))</f>
        <v>1.4137626628539797</v>
      </c>
      <c r="G6">
        <v>67</v>
      </c>
      <c r="H6">
        <f t="shared" si="0"/>
        <v>41</v>
      </c>
      <c r="I6">
        <f t="shared" si="1"/>
        <v>0.3255681544571567</v>
      </c>
      <c r="J6">
        <f t="shared" si="2"/>
        <v>0.49999999999999994</v>
      </c>
    </row>
    <row r="7" spans="1:10" x14ac:dyDescent="0.25">
      <c r="C7">
        <v>30</v>
      </c>
      <c r="D7">
        <v>19</v>
      </c>
      <c r="E7">
        <f t="shared" si="3"/>
        <v>1.5357767433786209</v>
      </c>
      <c r="G7">
        <v>90</v>
      </c>
      <c r="H7">
        <f t="shared" si="0"/>
        <v>64</v>
      </c>
      <c r="I7">
        <f t="shared" si="1"/>
        <v>0.40673664307580021</v>
      </c>
      <c r="J7">
        <f t="shared" si="2"/>
        <v>0.64278760968653925</v>
      </c>
    </row>
    <row r="8" spans="1:10" x14ac:dyDescent="0.25">
      <c r="C8">
        <v>40</v>
      </c>
      <c r="D8">
        <v>24</v>
      </c>
      <c r="E8">
        <f t="shared" si="3"/>
        <v>1.5803533333650199</v>
      </c>
      <c r="G8">
        <v>123</v>
      </c>
      <c r="H8">
        <f t="shared" si="0"/>
        <v>97</v>
      </c>
      <c r="I8">
        <f t="shared" si="1"/>
        <v>0.46947156278589081</v>
      </c>
      <c r="J8">
        <f t="shared" si="2"/>
        <v>0.76604444311897801</v>
      </c>
    </row>
    <row r="9" spans="1:10" x14ac:dyDescent="0.25">
      <c r="C9">
        <v>50</v>
      </c>
      <c r="D9">
        <v>28</v>
      </c>
      <c r="E9">
        <f t="shared" si="3"/>
        <v>1.6317163888973261</v>
      </c>
      <c r="I9">
        <f t="shared" si="1"/>
        <v>0.5591929034707469</v>
      </c>
      <c r="J9">
        <f t="shared" si="2"/>
        <v>0.8660254037844386</v>
      </c>
    </row>
    <row r="10" spans="1:10" x14ac:dyDescent="0.25">
      <c r="C10">
        <v>60</v>
      </c>
      <c r="D10">
        <v>34</v>
      </c>
      <c r="E10">
        <f t="shared" si="3"/>
        <v>1.548705998250822</v>
      </c>
      <c r="G10">
        <f>123-90</f>
        <v>33</v>
      </c>
      <c r="I10">
        <f t="shared" si="1"/>
        <v>0.62932039104983739</v>
      </c>
      <c r="J10">
        <f t="shared" si="2"/>
        <v>0.93969262078590832</v>
      </c>
    </row>
    <row r="11" spans="1:10" x14ac:dyDescent="0.25">
      <c r="C11">
        <v>70</v>
      </c>
      <c r="D11">
        <v>39</v>
      </c>
      <c r="E11">
        <f t="shared" si="3"/>
        <v>1.4931863549158251</v>
      </c>
      <c r="I11">
        <f t="shared" si="1"/>
        <v>0.66913060635885824</v>
      </c>
      <c r="J11">
        <f t="shared" si="2"/>
        <v>0.98480775301220802</v>
      </c>
    </row>
    <row r="12" spans="1:10" x14ac:dyDescent="0.25">
      <c r="C12">
        <v>80</v>
      </c>
      <c r="D12">
        <v>42</v>
      </c>
      <c r="E12">
        <f t="shared" si="3"/>
        <v>1.4717720930016023</v>
      </c>
    </row>
    <row r="14" spans="1:10" x14ac:dyDescent="0.25">
      <c r="D14" t="s">
        <v>4</v>
      </c>
      <c r="E14">
        <f>AVERAGE(E5:E12)</f>
        <v>1.4731639284247138</v>
      </c>
    </row>
    <row r="15" spans="1:10" x14ac:dyDescent="0.25">
      <c r="D15" t="s">
        <v>5</v>
      </c>
      <c r="E15">
        <f>_xlfn.STDEV.P(E5:E13)</f>
        <v>0.15085063478879049</v>
      </c>
    </row>
    <row r="16" spans="1:10" x14ac:dyDescent="0.25">
      <c r="D16" t="s">
        <v>6</v>
      </c>
      <c r="E16">
        <f>E15/COUNT(E5:E13)</f>
        <v>1.8856329348598811E-2</v>
      </c>
    </row>
    <row r="17" spans="4:7" x14ac:dyDescent="0.25">
      <c r="D17" t="s">
        <v>7</v>
      </c>
      <c r="E17">
        <f>ABS(E14-E18)/E18</f>
        <v>1.1299376896165246E-2</v>
      </c>
      <c r="G17" t="s">
        <v>14</v>
      </c>
    </row>
    <row r="18" spans="4:7" x14ac:dyDescent="0.25">
      <c r="D18" t="s">
        <v>10</v>
      </c>
      <c r="E18">
        <v>1.49</v>
      </c>
      <c r="G18">
        <v>42.15</v>
      </c>
    </row>
    <row r="19" spans="4:7" x14ac:dyDescent="0.25">
      <c r="D19" t="s">
        <v>11</v>
      </c>
      <c r="E19" t="s">
        <v>13</v>
      </c>
    </row>
    <row r="20" spans="4:7" x14ac:dyDescent="0.25">
      <c r="D20" t="s">
        <v>12</v>
      </c>
      <c r="E20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hagi</dc:creator>
  <cp:lastModifiedBy>Daksh Khandelwal</cp:lastModifiedBy>
  <dcterms:created xsi:type="dcterms:W3CDTF">2026-03-16T14:58:16Z</dcterms:created>
  <dcterms:modified xsi:type="dcterms:W3CDTF">2026-03-22T17:15:55Z</dcterms:modified>
</cp:coreProperties>
</file>